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anovy/Research/20231013_T7_ML_RBP/"/>
    </mc:Choice>
  </mc:AlternateContent>
  <xr:revisionPtr revIDLastSave="0" documentId="13_ncr:1_{0B28B0F8-33AE-DF45-9526-906F176ED481}" xr6:coauthVersionLast="47" xr6:coauthVersionMax="47" xr10:uidLastSave="{00000000-0000-0000-0000-000000000000}"/>
  <bookViews>
    <workbookView xWindow="17060" yWindow="860" windowWidth="12340" windowHeight="18380" xr2:uid="{DDE47E68-D2D9-4B43-BE11-4D6111DCB38F}"/>
  </bookViews>
  <sheets>
    <sheet name="EO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4" l="1"/>
  <c r="G49" i="4" s="1"/>
  <c r="F48" i="4"/>
  <c r="G48" i="4" s="1"/>
  <c r="F33" i="4" l="1"/>
  <c r="G33" i="4" s="1"/>
  <c r="F32" i="4"/>
  <c r="G32" i="4" s="1"/>
  <c r="F31" i="4"/>
  <c r="G31" i="4" s="1"/>
  <c r="F30" i="4"/>
  <c r="G3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</calcChain>
</file>

<file path=xl/sharedStrings.xml><?xml version="1.0" encoding="utf-8"?>
<sst xmlns="http://schemas.openxmlformats.org/spreadsheetml/2006/main" count="130" uniqueCount="42">
  <si>
    <t>Phage</t>
  </si>
  <si>
    <t>Titer</t>
  </si>
  <si>
    <t>11111_B</t>
  </si>
  <si>
    <t>xx01x_B</t>
  </si>
  <si>
    <t>x0011_D</t>
  </si>
  <si>
    <t>Plaques</t>
  </si>
  <si>
    <t>Dilution</t>
  </si>
  <si>
    <t>10G</t>
  </si>
  <si>
    <t>BL21</t>
  </si>
  <si>
    <t>BW25113</t>
  </si>
  <si>
    <t>rfaD</t>
  </si>
  <si>
    <t>rfaG</t>
  </si>
  <si>
    <t>Replicate</t>
  </si>
  <si>
    <t>Host</t>
  </si>
  <si>
    <t>LogTiter</t>
  </si>
  <si>
    <t>Helper_titer</t>
  </si>
  <si>
    <t>T7</t>
  </si>
  <si>
    <t>sequence</t>
  </si>
  <si>
    <t>mutations</t>
  </si>
  <si>
    <t>num_mutations</t>
  </si>
  <si>
    <t>gene_fragment</t>
  </si>
  <si>
    <t>TVWSGSAGRGVTVTVSEDLRFRNIWIKCANNSWNFFRTGPDGIYFIASDGGWLRFQISDNGLGFKNIADKNSVPVAIRVEAH</t>
  </si>
  <si>
    <t>Q0T,G8R,S11T,Q16E,H57S,S58D,S69K,R70N,N74V,M77R,N80A,E81H</t>
  </si>
  <si>
    <t>agcttcgttgcgaagtccaaggcgtggactACTGTGTGGTCTGGTAGTGCTGGCCGTGGGGTAACTGTGACTGTTTCAGAGGATCTCCGCTTCCGCAATATCTGGATTAAGTGTGCCAACAACTCTTGGAACTTCTTCCGTACTGGCCCCGATGGAATCTACTTCATAGCCTCTGATGGTGGATGGTTACGATTCCAAATATCTGATAACGGTCTTGGATTCAAGAATATTGCAGACAAGAACTCAGTACCTGTAGCAATCCGTGTGGAGGCTCACtaattggtaaatcacaaggaaagacgtgtagtc</t>
  </si>
  <si>
    <t>QVWSGSASGGVSVTVSQDLRFRNIWIKCANNSWNFFRTGPDGIYFIAQDGGWLRFQIHSNGLGFKNIANSRSVPNAIMVENE</t>
  </si>
  <si>
    <t>G7S,S47Q,D68N</t>
  </si>
  <si>
    <t>agcttcgttgcgaagtccaaggcgtggactCAGGTGTGGTCTGGTAGTGCTTCTGGTGGGGTAAGTGTGACTGTTTCACAGGATCTCCGCTTCCGCAATATCTGGATTAAGTGTGCCAACAACTCTTGGAACTTCTTCCGTACTGGCCCCGATGGAATCTACTTCATAGCCCAGGATGGTGGATGGTTACGATTCCAAATACACTCCAACGGTCTTGGATTCAAGAATATTGCAAACAGTCGTTCAGTACCTAATGCAATCATGGTGGAGAACGAGtaattggtaaatcacaaggaaagacgtgtagtc</t>
  </si>
  <si>
    <t>QVWSGSAGPGVSVTVSQDLRFRNIWIKCARNSWNFFRTGPDGIYFIKSEGGWLRFQIHNNGLGFKNIADSRSVPNAIMVEPE</t>
  </si>
  <si>
    <t>G8P,N29R,A46K,D48E,S58N,N80P</t>
  </si>
  <si>
    <t>agcttcgttgcgaagtccaaggcgtggactCAGGTGTGGTCTGGTAGTGCTGGCCCGGGGGTAAGTGTGACTGTTTCACAGGATCTCCGCTTCCGCAATATCTGGATTAAGTGTGCCCGTAACTCTTGGAACTTCTTCCGTACTGGCCCCGATGGAATCTACTTCATAAAGTCTGAGGGTGGATGGTTACGATTCCAAATACACAACAACGGTCTTGGATTCAAGAATATTGCAGACAGTCGTTCAGTACCTAATGCAATCATGGTGGAGCCGGAGtaattggtaaatcacaaggaaagacgtgtagtc</t>
  </si>
  <si>
    <t>xxxx1_A</t>
  </si>
  <si>
    <t>x101x_C</t>
  </si>
  <si>
    <t>11011_A</t>
  </si>
  <si>
    <t>QVWSGSATQGVSVTVSEDLRFRNIWIKTANNSWNYFRTGPDGIYYIRSDGGWLRFEIHSNGLGFKNIADSRSKPNAIMVENE</t>
  </si>
  <si>
    <t>G7T,G8Q,Q16E,C27T,F34Y,F44Y,A46R,Q55E,V72K</t>
  </si>
  <si>
    <t>agcttcgttgcgaagtccaaggcgtggactCAGGTGTGGTCTGGTAGTGCTACTCAGGGGGTAAGTGTGACTGTTTCAGAGGATCTCCGCTTCCGCAATATCTGGATTAAGACTGCCAACAACTCTTGGAACTACTTCCGTACTGGCCCCGATGGAATCTACTACATACGTTCTGATGGTGGATGGTTACGATTCGAGATACACTCCAACGGTCTTGGATTCAAGAATATTGCAGACAGTCGTTCAAAGCCTAATGCAATCATGGTGGAGAACGAGtaattggtaaatcacaaggaaagacgtgtagtc</t>
  </si>
  <si>
    <t>QVWSGSAKEGVSVTVSQDLRFRNIWIKCANNSWNYFRTGPDGDYFIASDGGWLRFQIHSNGLGFKNIADSRSRPNAIMVEPE</t>
  </si>
  <si>
    <t>G7K,G8E,F34Y,I42D,V72R,N80P</t>
  </si>
  <si>
    <t>agcttcgttgcgaagtccaaggcgtggactCAGGTGTGGTCTGGTAGTGCTAAGGAGGGGGTAAGTGTGACTGTTTCACAGGATCTCCGCTTCCGCAATATCTGGATTAAGTGTGCCAACAACTCTTGGAACTACTTCCGTACTGGCCCCGATGGAGATTACTTCATAGCCTCTGATGGTGGATGGTTACGATTCCAAATACACTCCAACGGTCTTGGATTCAAGAATATTGCAGACAGTCGTTCACGTCCTAATGCAATCATGGTGGAGCCGGAGtaattggtaaatcacaaggaaagacgtgtagtc</t>
  </si>
  <si>
    <t>QVWSGSAGKGVSVTVSQDLRFRNIWIKCANNSWNFFRTGPDGIYFIRVDGGWLRFQIHSNGLGFKNIADSRSVPNAIMVENE</t>
  </si>
  <si>
    <t>G8K,A46R,S47V</t>
  </si>
  <si>
    <t>agcttcgttgcgaagtccaaggcgtggactCAGGTGTGGTCTGGTAGTGCTGGCAAGGGGGTAAGTGTGACTGTTTCACAGGATCTCCGCTTCCGCAATATCTGGATTAAGTGTGCCAACAACTCTTGGAACTTCTTCCGTACTGGCCCCGATGGAATCTACTTCATACGTGTAGATGGTGGATGGTTACGATTCCAAATACACTCCAACGGTCTTGGATTCAAGAATATTGCAGACAGTCGTTCAGTACCTAATGCAATCATGGTGGAGAACGAGtaattggtaaatcacaaggaaagacgtgta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</si>
</sst>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3" fillId="0" borderId="0" xfId="0" applyFont="1"/>
    <xf numFmtId="0" fontId="4" fillId="0" borderId="0" xfId="0" applyFont="1"/>
    <xf numFmtId="11" fontId="0" fillId="0" borderId="0" xfId="0" applyNumberForma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E1DF-6E7A-4DEC-B8C5-FFC7EF1354FA}">
  <dimension ref="A1:AG106"/>
  <sheetViews>
    <sheetView tabSelected="1" zoomScale="86" workbookViewId="0">
      <selection activeCell="I5" sqref="I5"/>
    </sheetView>
  </sheetViews>
  <sheetFormatPr baseColWidth="10" defaultColWidth="8.83203125" defaultRowHeight="15" x14ac:dyDescent="0.2"/>
  <cols>
    <col min="1" max="1" width="13.6640625" customWidth="1"/>
    <col min="4" max="4" width="10.6640625" bestFit="1" customWidth="1"/>
    <col min="5" max="5" width="11.6640625" bestFit="1" customWidth="1"/>
    <col min="7" max="7" width="11.6640625" bestFit="1" customWidth="1"/>
    <col min="8" max="8" width="9.1640625" bestFit="1" customWidth="1"/>
    <col min="10" max="10" width="22.83203125" customWidth="1"/>
    <col min="11" max="11" width="17.6640625" customWidth="1"/>
    <col min="12" max="12" width="16" customWidth="1"/>
    <col min="13" max="13" width="18.33203125" customWidth="1"/>
  </cols>
  <sheetData>
    <row r="1" spans="1:13" x14ac:dyDescent="0.2">
      <c r="A1" s="1" t="s">
        <v>0</v>
      </c>
      <c r="B1" s="2" t="s">
        <v>13</v>
      </c>
      <c r="C1" s="1" t="s">
        <v>12</v>
      </c>
      <c r="D1" s="1" t="s">
        <v>5</v>
      </c>
      <c r="E1" s="1" t="s">
        <v>6</v>
      </c>
      <c r="F1" s="3" t="s">
        <v>1</v>
      </c>
      <c r="G1" s="1" t="s">
        <v>14</v>
      </c>
      <c r="H1" s="1" t="s">
        <v>15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 x14ac:dyDescent="0.2">
      <c r="A2" t="s">
        <v>30</v>
      </c>
      <c r="B2" t="s">
        <v>11</v>
      </c>
      <c r="C2">
        <v>1</v>
      </c>
      <c r="D2">
        <v>51</v>
      </c>
      <c r="E2">
        <v>9.9999999999999995E-8</v>
      </c>
      <c r="F2" s="7">
        <v>51000000000</v>
      </c>
      <c r="G2">
        <v>10.707570176097937</v>
      </c>
      <c r="H2" s="6">
        <v>15000000000</v>
      </c>
      <c r="I2" t="s">
        <v>39</v>
      </c>
      <c r="J2" t="s">
        <v>40</v>
      </c>
      <c r="K2">
        <v>3</v>
      </c>
      <c r="L2" t="s">
        <v>41</v>
      </c>
    </row>
    <row r="3" spans="1:13" x14ac:dyDescent="0.2">
      <c r="A3" t="s">
        <v>30</v>
      </c>
      <c r="B3" t="s">
        <v>11</v>
      </c>
      <c r="C3">
        <v>2</v>
      </c>
      <c r="D3">
        <v>62</v>
      </c>
      <c r="E3">
        <v>9.9999999999999995E-8</v>
      </c>
      <c r="F3" s="6">
        <v>61999999999.999992</v>
      </c>
      <c r="G3">
        <v>10.792391689498254</v>
      </c>
      <c r="H3" s="6">
        <v>15000000000</v>
      </c>
    </row>
    <row r="4" spans="1:13" x14ac:dyDescent="0.2">
      <c r="A4" t="s">
        <v>31</v>
      </c>
      <c r="B4" t="s">
        <v>9</v>
      </c>
      <c r="C4">
        <v>1</v>
      </c>
      <c r="D4">
        <v>54</v>
      </c>
      <c r="E4">
        <v>1.0000000000000001E-5</v>
      </c>
      <c r="F4" s="6">
        <v>540000000</v>
      </c>
      <c r="G4">
        <v>8.7323937598229691</v>
      </c>
      <c r="H4" s="6">
        <v>249999999999.99997</v>
      </c>
      <c r="I4" t="s">
        <v>36</v>
      </c>
      <c r="J4" t="s">
        <v>37</v>
      </c>
      <c r="K4">
        <v>6</v>
      </c>
      <c r="L4" t="s">
        <v>38</v>
      </c>
    </row>
    <row r="5" spans="1:13" x14ac:dyDescent="0.2">
      <c r="A5" t="s">
        <v>31</v>
      </c>
      <c r="B5" t="s">
        <v>8</v>
      </c>
      <c r="C5">
        <v>1</v>
      </c>
      <c r="D5">
        <v>45</v>
      </c>
      <c r="E5">
        <v>9.9999999999999995E-8</v>
      </c>
      <c r="F5" s="6">
        <v>45000000000</v>
      </c>
      <c r="G5">
        <v>10.653212513775344</v>
      </c>
      <c r="H5" s="6">
        <v>249999999999.99997</v>
      </c>
    </row>
    <row r="6" spans="1:13" x14ac:dyDescent="0.2">
      <c r="A6" t="s">
        <v>31</v>
      </c>
      <c r="B6" t="s">
        <v>10</v>
      </c>
      <c r="C6">
        <v>1</v>
      </c>
      <c r="D6">
        <v>29</v>
      </c>
      <c r="E6">
        <v>9.9999999999999995E-7</v>
      </c>
      <c r="F6" s="6">
        <v>2900000000</v>
      </c>
      <c r="G6">
        <v>9.4623979978989556</v>
      </c>
      <c r="H6" s="6">
        <v>249999999999.99997</v>
      </c>
    </row>
    <row r="7" spans="1:13" x14ac:dyDescent="0.2">
      <c r="A7" t="s">
        <v>31</v>
      </c>
      <c r="B7" t="s">
        <v>9</v>
      </c>
      <c r="C7">
        <v>2</v>
      </c>
      <c r="D7">
        <v>63</v>
      </c>
      <c r="E7">
        <v>1.0000000000000001E-5</v>
      </c>
      <c r="F7" s="6">
        <v>630000000</v>
      </c>
      <c r="G7">
        <v>8.7993405494535821</v>
      </c>
      <c r="H7" s="6">
        <v>249999999999.99997</v>
      </c>
    </row>
    <row r="8" spans="1:13" x14ac:dyDescent="0.2">
      <c r="A8" t="s">
        <v>31</v>
      </c>
      <c r="B8" t="s">
        <v>8</v>
      </c>
      <c r="C8">
        <v>2</v>
      </c>
      <c r="D8">
        <v>55</v>
      </c>
      <c r="E8">
        <v>9.9999999999999995E-8</v>
      </c>
      <c r="F8" s="6">
        <v>55000000000</v>
      </c>
      <c r="G8">
        <v>10.740362689494244</v>
      </c>
      <c r="H8" s="6">
        <v>249999999999.99997</v>
      </c>
    </row>
    <row r="9" spans="1:13" x14ac:dyDescent="0.2">
      <c r="A9" t="s">
        <v>31</v>
      </c>
      <c r="B9" t="s">
        <v>10</v>
      </c>
      <c r="C9">
        <v>2</v>
      </c>
      <c r="D9">
        <v>33</v>
      </c>
      <c r="E9">
        <v>9.9999999999999995E-7</v>
      </c>
      <c r="F9" s="6">
        <v>3300000000</v>
      </c>
      <c r="G9">
        <v>9.518513939877888</v>
      </c>
      <c r="H9" s="6">
        <v>249999999999.99997</v>
      </c>
    </row>
    <row r="10" spans="1:13" x14ac:dyDescent="0.2">
      <c r="A10" s="4" t="s">
        <v>2</v>
      </c>
      <c r="B10" s="4" t="s">
        <v>7</v>
      </c>
      <c r="C10" s="4">
        <v>1</v>
      </c>
      <c r="D10" s="4">
        <v>36</v>
      </c>
      <c r="E10" s="4">
        <v>9.9999999999999995E-8</v>
      </c>
      <c r="F10" s="4">
        <f>(D10)/((E10)*(0.01))</f>
        <v>36000000000</v>
      </c>
      <c r="G10" s="4">
        <f>LOG(F10)</f>
        <v>10.556302500767288</v>
      </c>
      <c r="H10" s="4">
        <v>16500000000</v>
      </c>
      <c r="I10" t="s">
        <v>21</v>
      </c>
      <c r="J10" t="s">
        <v>22</v>
      </c>
      <c r="K10">
        <v>12</v>
      </c>
      <c r="L10" t="s">
        <v>23</v>
      </c>
    </row>
    <row r="11" spans="1:13" x14ac:dyDescent="0.2">
      <c r="A11" s="4" t="s">
        <v>2</v>
      </c>
      <c r="B11" s="4" t="s">
        <v>7</v>
      </c>
      <c r="C11" s="4">
        <v>2</v>
      </c>
      <c r="D11" s="4">
        <v>35</v>
      </c>
      <c r="E11" s="4">
        <v>9.9999999999999995E-8</v>
      </c>
      <c r="F11" s="4">
        <f t="shared" ref="F11:F19" si="0">(D11)/((E11)*(0.01))</f>
        <v>35000000000</v>
      </c>
      <c r="G11" s="4">
        <f t="shared" ref="G11:G19" si="1">LOG(F11)</f>
        <v>10.544068044350276</v>
      </c>
      <c r="H11" s="4">
        <v>16500000000</v>
      </c>
    </row>
    <row r="12" spans="1:13" x14ac:dyDescent="0.2">
      <c r="A12" s="4" t="s">
        <v>2</v>
      </c>
      <c r="B12" s="4" t="s">
        <v>8</v>
      </c>
      <c r="C12" s="4">
        <v>1</v>
      </c>
      <c r="D12" s="4">
        <v>43</v>
      </c>
      <c r="E12" s="4">
        <v>9.9999999999999995E-8</v>
      </c>
      <c r="F12" s="4">
        <f t="shared" si="0"/>
        <v>43000000000</v>
      </c>
      <c r="G12" s="4">
        <f t="shared" si="1"/>
        <v>10.633468455579587</v>
      </c>
      <c r="H12" s="4">
        <v>16500000000</v>
      </c>
    </row>
    <row r="13" spans="1:13" x14ac:dyDescent="0.2">
      <c r="A13" s="4" t="s">
        <v>2</v>
      </c>
      <c r="B13" s="4" t="s">
        <v>8</v>
      </c>
      <c r="C13" s="4">
        <v>2</v>
      </c>
      <c r="D13" s="4">
        <v>44</v>
      </c>
      <c r="E13" s="4">
        <v>9.9999999999999995E-8</v>
      </c>
      <c r="F13" s="4">
        <f t="shared" si="0"/>
        <v>44000000000</v>
      </c>
      <c r="G13" s="4">
        <f t="shared" si="1"/>
        <v>10.643452676486188</v>
      </c>
      <c r="H13" s="4">
        <v>16500000000</v>
      </c>
    </row>
    <row r="14" spans="1:13" x14ac:dyDescent="0.2">
      <c r="A14" s="4" t="s">
        <v>2</v>
      </c>
      <c r="B14" s="4" t="s">
        <v>9</v>
      </c>
      <c r="C14" s="4">
        <v>1</v>
      </c>
      <c r="D14" s="4">
        <v>56</v>
      </c>
      <c r="E14" s="4">
        <v>9.9999999999999995E-8</v>
      </c>
      <c r="F14" s="4">
        <f t="shared" si="0"/>
        <v>56000000000</v>
      </c>
      <c r="G14" s="4">
        <f t="shared" si="1"/>
        <v>10.748188027006201</v>
      </c>
      <c r="H14" s="4">
        <v>16500000000</v>
      </c>
    </row>
    <row r="15" spans="1:13" x14ac:dyDescent="0.2">
      <c r="A15" s="4" t="s">
        <v>2</v>
      </c>
      <c r="B15" s="4" t="s">
        <v>9</v>
      </c>
      <c r="C15" s="4">
        <v>2</v>
      </c>
      <c r="D15" s="4">
        <v>57</v>
      </c>
      <c r="E15" s="4">
        <v>9.9999999999999995E-8</v>
      </c>
      <c r="F15" s="4">
        <f t="shared" si="0"/>
        <v>57000000000</v>
      </c>
      <c r="G15" s="4">
        <f t="shared" si="1"/>
        <v>10.755874855672491</v>
      </c>
      <c r="H15" s="4">
        <v>16500000000</v>
      </c>
      <c r="I15" s="1"/>
      <c r="J15" s="1"/>
      <c r="K15" s="1"/>
      <c r="L15" s="1"/>
      <c r="M15" s="1"/>
    </row>
    <row r="16" spans="1:13" x14ac:dyDescent="0.2">
      <c r="A16" s="4" t="s">
        <v>2</v>
      </c>
      <c r="B16" s="4" t="s">
        <v>10</v>
      </c>
      <c r="C16" s="4">
        <v>1</v>
      </c>
      <c r="D16" s="4">
        <v>72</v>
      </c>
      <c r="E16" s="4">
        <v>1E-4</v>
      </c>
      <c r="F16" s="4">
        <f t="shared" si="0"/>
        <v>71999999.999999985</v>
      </c>
      <c r="G16" s="4">
        <f t="shared" si="1"/>
        <v>7.8573324964312681</v>
      </c>
      <c r="H16" s="4">
        <v>16500000000</v>
      </c>
    </row>
    <row r="17" spans="1:33" x14ac:dyDescent="0.2">
      <c r="A17" s="4" t="s">
        <v>2</v>
      </c>
      <c r="B17" s="4" t="s">
        <v>10</v>
      </c>
      <c r="C17" s="4">
        <v>2</v>
      </c>
      <c r="D17" s="4">
        <v>77</v>
      </c>
      <c r="E17" s="4">
        <v>1E-4</v>
      </c>
      <c r="F17" s="4">
        <f t="shared" si="0"/>
        <v>76999999.999999985</v>
      </c>
      <c r="G17" s="4">
        <f t="shared" si="1"/>
        <v>7.8864907251724814</v>
      </c>
      <c r="H17" s="4">
        <v>16500000000</v>
      </c>
    </row>
    <row r="18" spans="1:33" x14ac:dyDescent="0.2">
      <c r="A18" s="4" t="s">
        <v>2</v>
      </c>
      <c r="B18" s="4" t="s">
        <v>11</v>
      </c>
      <c r="C18" s="4">
        <v>1</v>
      </c>
      <c r="D18" s="4">
        <v>35</v>
      </c>
      <c r="E18" s="4">
        <v>9.9999999999999995E-7</v>
      </c>
      <c r="F18" s="4">
        <f t="shared" si="0"/>
        <v>3500000000</v>
      </c>
      <c r="G18" s="4">
        <f t="shared" si="1"/>
        <v>9.5440680443502757</v>
      </c>
      <c r="H18" s="4">
        <v>16500000000</v>
      </c>
    </row>
    <row r="19" spans="1:33" x14ac:dyDescent="0.2">
      <c r="A19" s="4" t="s">
        <v>2</v>
      </c>
      <c r="B19" s="4" t="s">
        <v>11</v>
      </c>
      <c r="C19" s="4">
        <v>2</v>
      </c>
      <c r="D19" s="4">
        <v>42</v>
      </c>
      <c r="E19" s="4">
        <v>9.9999999999999995E-7</v>
      </c>
      <c r="F19" s="4">
        <f t="shared" si="0"/>
        <v>4200000000</v>
      </c>
      <c r="G19" s="4">
        <f t="shared" si="1"/>
        <v>9.6232492903979008</v>
      </c>
      <c r="H19" s="4">
        <v>16500000000</v>
      </c>
    </row>
    <row r="20" spans="1:33" x14ac:dyDescent="0.2">
      <c r="A20" t="s">
        <v>32</v>
      </c>
      <c r="B20" t="s">
        <v>7</v>
      </c>
      <c r="C20">
        <v>1</v>
      </c>
      <c r="D20">
        <v>35</v>
      </c>
      <c r="E20">
        <v>9.9999999999999995E-7</v>
      </c>
      <c r="F20" s="7">
        <v>3500000000</v>
      </c>
      <c r="G20">
        <v>9.5440680443502757</v>
      </c>
      <c r="H20" s="6">
        <v>69000000000</v>
      </c>
      <c r="I20" t="s">
        <v>33</v>
      </c>
      <c r="J20" t="s">
        <v>34</v>
      </c>
      <c r="K20">
        <v>9</v>
      </c>
      <c r="L20" t="s">
        <v>35</v>
      </c>
      <c r="Q20" s="1"/>
      <c r="Y20" s="1"/>
      <c r="AG20" s="1"/>
    </row>
    <row r="21" spans="1:33" x14ac:dyDescent="0.2">
      <c r="A21" t="s">
        <v>32</v>
      </c>
      <c r="B21" t="s">
        <v>9</v>
      </c>
      <c r="C21">
        <v>1</v>
      </c>
      <c r="D21">
        <v>50</v>
      </c>
      <c r="E21">
        <v>1E-4</v>
      </c>
      <c r="F21" s="6">
        <v>49999999.999999993</v>
      </c>
      <c r="G21">
        <v>7.6989700043360187</v>
      </c>
      <c r="H21" s="6">
        <v>69000000000</v>
      </c>
    </row>
    <row r="22" spans="1:33" x14ac:dyDescent="0.2">
      <c r="A22" t="s">
        <v>32</v>
      </c>
      <c r="B22" t="s">
        <v>8</v>
      </c>
      <c r="C22">
        <v>1</v>
      </c>
      <c r="D22">
        <v>6</v>
      </c>
      <c r="E22">
        <v>9.9999999999999995E-8</v>
      </c>
      <c r="F22" s="6">
        <v>6000000000</v>
      </c>
      <c r="G22">
        <v>9.7781512503836439</v>
      </c>
      <c r="H22" s="6">
        <v>69000000000</v>
      </c>
    </row>
    <row r="23" spans="1:33" x14ac:dyDescent="0.2">
      <c r="A23" t="s">
        <v>32</v>
      </c>
      <c r="B23" t="s">
        <v>10</v>
      </c>
      <c r="C23">
        <v>1</v>
      </c>
      <c r="D23">
        <v>14</v>
      </c>
      <c r="E23">
        <v>1.0000000000000001E-5</v>
      </c>
      <c r="F23" s="6">
        <v>140000000</v>
      </c>
      <c r="G23">
        <v>8.1461280356782382</v>
      </c>
      <c r="H23" s="6">
        <v>69000000000</v>
      </c>
    </row>
    <row r="24" spans="1:33" x14ac:dyDescent="0.2">
      <c r="A24" t="s">
        <v>32</v>
      </c>
      <c r="B24" t="s">
        <v>11</v>
      </c>
      <c r="C24">
        <v>1</v>
      </c>
      <c r="D24">
        <v>60</v>
      </c>
      <c r="E24">
        <v>9.9999999999999995E-7</v>
      </c>
      <c r="F24" s="6">
        <v>6000000000</v>
      </c>
      <c r="G24">
        <v>9.7781512503836439</v>
      </c>
      <c r="H24" s="6">
        <v>69000000000</v>
      </c>
    </row>
    <row r="25" spans="1:33" x14ac:dyDescent="0.2">
      <c r="A25" t="s">
        <v>32</v>
      </c>
      <c r="B25" t="s">
        <v>7</v>
      </c>
      <c r="C25">
        <v>2</v>
      </c>
      <c r="D25">
        <v>43</v>
      </c>
      <c r="E25">
        <v>9.9999999999999995E-7</v>
      </c>
      <c r="F25" s="6">
        <v>4300000000</v>
      </c>
      <c r="G25">
        <v>9.6334684555795871</v>
      </c>
      <c r="H25" s="6">
        <v>69000000000</v>
      </c>
    </row>
    <row r="26" spans="1:33" x14ac:dyDescent="0.2">
      <c r="A26" t="s">
        <v>32</v>
      </c>
      <c r="B26" t="s">
        <v>9</v>
      </c>
      <c r="C26">
        <v>2</v>
      </c>
      <c r="D26">
        <v>47</v>
      </c>
      <c r="E26">
        <v>1E-4</v>
      </c>
      <c r="F26" s="6">
        <v>46999999.999999993</v>
      </c>
      <c r="G26">
        <v>7.6720978579357171</v>
      </c>
      <c r="H26" s="6">
        <v>69000000000</v>
      </c>
    </row>
    <row r="27" spans="1:33" x14ac:dyDescent="0.2">
      <c r="A27" t="s">
        <v>32</v>
      </c>
      <c r="B27" t="s">
        <v>8</v>
      </c>
      <c r="C27">
        <v>2</v>
      </c>
      <c r="D27">
        <v>3</v>
      </c>
      <c r="E27">
        <v>9.9999999999999995E-8</v>
      </c>
      <c r="F27" s="6">
        <v>3000000000</v>
      </c>
      <c r="G27">
        <v>9.4771212547196626</v>
      </c>
      <c r="H27" s="6">
        <v>69000000000</v>
      </c>
    </row>
    <row r="28" spans="1:33" x14ac:dyDescent="0.2">
      <c r="A28" t="s">
        <v>32</v>
      </c>
      <c r="B28" t="s">
        <v>10</v>
      </c>
      <c r="C28">
        <v>2</v>
      </c>
      <c r="D28">
        <v>11</v>
      </c>
      <c r="E28">
        <v>1.0000000000000001E-5</v>
      </c>
      <c r="F28" s="6">
        <v>109999999.99999999</v>
      </c>
      <c r="G28">
        <v>8.0413926851582254</v>
      </c>
      <c r="H28" s="6">
        <v>69000000000</v>
      </c>
    </row>
    <row r="29" spans="1:33" x14ac:dyDescent="0.2">
      <c r="A29" t="s">
        <v>32</v>
      </c>
      <c r="B29" t="s">
        <v>11</v>
      </c>
      <c r="C29">
        <v>2</v>
      </c>
      <c r="D29">
        <v>77</v>
      </c>
      <c r="E29">
        <v>9.9999999999999995E-7</v>
      </c>
      <c r="F29" s="6">
        <v>7700000000</v>
      </c>
      <c r="G29">
        <v>9.8864907251724823</v>
      </c>
      <c r="H29" s="6">
        <v>69000000000</v>
      </c>
    </row>
    <row r="30" spans="1:33" x14ac:dyDescent="0.2">
      <c r="A30" s="4" t="s">
        <v>3</v>
      </c>
      <c r="B30" s="4" t="s">
        <v>9</v>
      </c>
      <c r="C30" s="4">
        <v>1</v>
      </c>
      <c r="D30" s="4">
        <v>75</v>
      </c>
      <c r="E30" s="4">
        <v>9.9999999999999995E-7</v>
      </c>
      <c r="F30" s="4">
        <f>(D30)/((E30)*(0.01))</f>
        <v>7500000000</v>
      </c>
      <c r="G30" s="4">
        <f>LOG(F30)</f>
        <v>9.8750612633917001</v>
      </c>
      <c r="H30" s="4">
        <v>26500000000</v>
      </c>
      <c r="I30" t="s">
        <v>24</v>
      </c>
      <c r="J30" t="s">
        <v>25</v>
      </c>
      <c r="K30">
        <v>3</v>
      </c>
      <c r="L30" t="s">
        <v>26</v>
      </c>
    </row>
    <row r="31" spans="1:33" x14ac:dyDescent="0.2">
      <c r="A31" s="4" t="s">
        <v>3</v>
      </c>
      <c r="B31" s="4" t="s">
        <v>9</v>
      </c>
      <c r="C31" s="4">
        <v>2</v>
      </c>
      <c r="D31" s="4">
        <v>80</v>
      </c>
      <c r="E31" s="4">
        <v>9.9999999999999995E-7</v>
      </c>
      <c r="F31" s="4">
        <f t="shared" ref="F31:F33" si="2">(D31)/((E31)*(0.01))</f>
        <v>8000000000</v>
      </c>
      <c r="G31" s="4">
        <f t="shared" ref="G31:G33" si="3">LOG(F31)</f>
        <v>9.9030899869919438</v>
      </c>
      <c r="H31" s="4">
        <v>26500000000</v>
      </c>
    </row>
    <row r="32" spans="1:33" x14ac:dyDescent="0.2">
      <c r="A32" s="4" t="s">
        <v>3</v>
      </c>
      <c r="B32" s="4" t="s">
        <v>10</v>
      </c>
      <c r="C32" s="4">
        <v>1</v>
      </c>
      <c r="D32" s="4">
        <v>61</v>
      </c>
      <c r="E32" s="4">
        <v>1E-4</v>
      </c>
      <c r="F32" s="4">
        <f t="shared" si="2"/>
        <v>60999999.999999993</v>
      </c>
      <c r="G32" s="4">
        <f t="shared" si="3"/>
        <v>7.7853298350107671</v>
      </c>
      <c r="H32" s="4">
        <v>26500000000</v>
      </c>
    </row>
    <row r="33" spans="1:13" x14ac:dyDescent="0.2">
      <c r="A33" s="4" t="s">
        <v>3</v>
      </c>
      <c r="B33" s="4" t="s">
        <v>10</v>
      </c>
      <c r="C33" s="4">
        <v>2</v>
      </c>
      <c r="D33" s="4">
        <v>63</v>
      </c>
      <c r="E33" s="4">
        <v>1E-4</v>
      </c>
      <c r="F33" s="4">
        <f t="shared" si="2"/>
        <v>62999999.999999993</v>
      </c>
      <c r="G33" s="4">
        <f t="shared" si="3"/>
        <v>7.7993405494535812</v>
      </c>
      <c r="H33" s="4">
        <v>26500000000</v>
      </c>
    </row>
    <row r="34" spans="1:13" x14ac:dyDescent="0.2">
      <c r="A34" s="4" t="s">
        <v>4</v>
      </c>
      <c r="B34" s="4" t="s">
        <v>8</v>
      </c>
      <c r="C34" s="5">
        <v>1</v>
      </c>
      <c r="D34" s="5">
        <v>61</v>
      </c>
      <c r="E34" s="5">
        <v>9.9999999999999995E-8</v>
      </c>
      <c r="F34" s="5">
        <v>61000000000</v>
      </c>
      <c r="G34" s="5">
        <v>10.78533</v>
      </c>
      <c r="H34" s="4">
        <v>225000000000</v>
      </c>
      <c r="I34" t="s">
        <v>27</v>
      </c>
      <c r="J34" t="s">
        <v>28</v>
      </c>
      <c r="K34">
        <v>6</v>
      </c>
      <c r="L34" t="s">
        <v>29</v>
      </c>
    </row>
    <row r="35" spans="1:13" x14ac:dyDescent="0.2">
      <c r="A35" s="4" t="s">
        <v>4</v>
      </c>
      <c r="B35" s="4" t="s">
        <v>8</v>
      </c>
      <c r="C35" s="5">
        <v>2</v>
      </c>
      <c r="D35" s="5">
        <v>55</v>
      </c>
      <c r="E35" s="5">
        <v>9.9999999999999995E-8</v>
      </c>
      <c r="F35" s="5">
        <v>55000000000</v>
      </c>
      <c r="G35" s="5">
        <v>10.740360000000001</v>
      </c>
      <c r="H35" s="4">
        <v>225000000000</v>
      </c>
      <c r="I35" s="1"/>
      <c r="J35" s="1"/>
      <c r="K35" s="1"/>
      <c r="L35" s="1"/>
      <c r="M35" s="1"/>
    </row>
    <row r="36" spans="1:13" x14ac:dyDescent="0.2">
      <c r="A36" s="4" t="s">
        <v>4</v>
      </c>
      <c r="B36" s="4" t="s">
        <v>9</v>
      </c>
      <c r="C36" s="5">
        <v>1</v>
      </c>
      <c r="D36" s="5">
        <v>270</v>
      </c>
      <c r="E36" s="5">
        <v>9.9999999999999995E-7</v>
      </c>
      <c r="F36" s="5">
        <v>27000000000</v>
      </c>
      <c r="G36" s="5">
        <v>10.43136</v>
      </c>
      <c r="H36" s="4">
        <v>225000000000</v>
      </c>
    </row>
    <row r="37" spans="1:13" x14ac:dyDescent="0.2">
      <c r="A37" s="4" t="s">
        <v>4</v>
      </c>
      <c r="B37" s="4" t="s">
        <v>9</v>
      </c>
      <c r="C37" s="5">
        <v>2</v>
      </c>
      <c r="D37" s="5">
        <v>198</v>
      </c>
      <c r="E37" s="5">
        <v>9.9999999999999995E-7</v>
      </c>
      <c r="F37" s="5">
        <v>19800000000</v>
      </c>
      <c r="G37" s="5">
        <v>10.296670000000001</v>
      </c>
      <c r="H37" s="4">
        <v>225000000000</v>
      </c>
    </row>
    <row r="38" spans="1:13" x14ac:dyDescent="0.2">
      <c r="A38" s="4" t="s">
        <v>4</v>
      </c>
      <c r="B38" s="4" t="s">
        <v>10</v>
      </c>
      <c r="C38" s="5">
        <v>1</v>
      </c>
      <c r="D38" s="5">
        <v>61</v>
      </c>
      <c r="E38" s="5">
        <v>1E-4</v>
      </c>
      <c r="F38" s="5">
        <v>61000000</v>
      </c>
      <c r="G38" s="5">
        <v>7.7853300000000001</v>
      </c>
      <c r="H38" s="4">
        <v>225000000000</v>
      </c>
    </row>
    <row r="39" spans="1:13" x14ac:dyDescent="0.2">
      <c r="A39" s="4" t="s">
        <v>4</v>
      </c>
      <c r="B39" s="4" t="s">
        <v>10</v>
      </c>
      <c r="C39" s="5">
        <v>2</v>
      </c>
      <c r="D39" s="5">
        <v>76</v>
      </c>
      <c r="E39" s="5">
        <v>1E-4</v>
      </c>
      <c r="F39" s="5">
        <v>76000000</v>
      </c>
      <c r="G39" s="5">
        <v>7.880814</v>
      </c>
      <c r="H39" s="4">
        <v>225000000000</v>
      </c>
    </row>
    <row r="40" spans="1:13" x14ac:dyDescent="0.2">
      <c r="A40" s="4" t="s">
        <v>4</v>
      </c>
      <c r="B40" s="4" t="s">
        <v>11</v>
      </c>
      <c r="C40" s="5">
        <v>1</v>
      </c>
      <c r="D40" s="5">
        <v>234</v>
      </c>
      <c r="E40" s="5">
        <v>1.0000000000000001E-5</v>
      </c>
      <c r="F40" s="5">
        <v>2340000000</v>
      </c>
      <c r="G40" s="5">
        <v>9.3692159999999998</v>
      </c>
      <c r="H40" s="4">
        <v>225000000000</v>
      </c>
    </row>
    <row r="41" spans="1:13" x14ac:dyDescent="0.2">
      <c r="A41" s="4" t="s">
        <v>4</v>
      </c>
      <c r="B41" s="4" t="s">
        <v>11</v>
      </c>
      <c r="C41" s="5">
        <v>2</v>
      </c>
      <c r="D41" s="5">
        <v>242</v>
      </c>
      <c r="E41" s="5">
        <v>1.0000000000000001E-5</v>
      </c>
      <c r="F41" s="5">
        <v>2420000000</v>
      </c>
      <c r="G41" s="5">
        <v>9.3838150000000002</v>
      </c>
      <c r="H41" s="4">
        <v>225000000000</v>
      </c>
    </row>
    <row r="42" spans="1:13" x14ac:dyDescent="0.2">
      <c r="A42" s="4" t="s">
        <v>16</v>
      </c>
      <c r="B42" s="4" t="s">
        <v>7</v>
      </c>
      <c r="C42" s="5">
        <v>1</v>
      </c>
      <c r="D42" s="5">
        <v>39</v>
      </c>
      <c r="E42" s="5">
        <v>9.9999999999999995E-8</v>
      </c>
      <c r="F42" s="5">
        <v>39000000000</v>
      </c>
      <c r="G42" s="5">
        <v>10.591060000000001</v>
      </c>
      <c r="H42" s="4">
        <v>50500000000</v>
      </c>
    </row>
    <row r="43" spans="1:13" x14ac:dyDescent="0.2">
      <c r="A43" s="4" t="s">
        <v>16</v>
      </c>
      <c r="B43" s="4" t="s">
        <v>7</v>
      </c>
      <c r="C43" s="5">
        <v>2</v>
      </c>
      <c r="D43" s="5">
        <v>32</v>
      </c>
      <c r="E43" s="5">
        <v>9.9999999999999995E-8</v>
      </c>
      <c r="F43" s="5">
        <v>32000000000</v>
      </c>
      <c r="G43" s="5">
        <v>10.50515</v>
      </c>
      <c r="H43" s="4">
        <v>50500000000</v>
      </c>
    </row>
    <row r="44" spans="1:13" x14ac:dyDescent="0.2">
      <c r="A44" s="4" t="s">
        <v>16</v>
      </c>
      <c r="B44" s="4" t="s">
        <v>8</v>
      </c>
      <c r="C44" s="5">
        <v>1</v>
      </c>
      <c r="D44" s="5">
        <v>54</v>
      </c>
      <c r="E44" s="5">
        <v>9.9999999999999995E-8</v>
      </c>
      <c r="F44" s="5">
        <v>54000000000</v>
      </c>
      <c r="G44" s="5">
        <v>10.732390000000001</v>
      </c>
      <c r="H44" s="4">
        <v>50500000000</v>
      </c>
    </row>
    <row r="45" spans="1:13" x14ac:dyDescent="0.2">
      <c r="A45" s="4" t="s">
        <v>16</v>
      </c>
      <c r="B45" s="4" t="s">
        <v>8</v>
      </c>
      <c r="C45" s="5">
        <v>2</v>
      </c>
      <c r="D45" s="5">
        <v>40</v>
      </c>
      <c r="E45" s="5">
        <v>9.9999999999999995E-8</v>
      </c>
      <c r="F45" s="5">
        <v>40000000000</v>
      </c>
      <c r="G45" s="5">
        <v>10.60206</v>
      </c>
      <c r="H45" s="4">
        <v>50500000000</v>
      </c>
    </row>
    <row r="46" spans="1:13" x14ac:dyDescent="0.2">
      <c r="A46" s="4" t="s">
        <v>16</v>
      </c>
      <c r="B46" s="4" t="s">
        <v>9</v>
      </c>
      <c r="C46" s="5">
        <v>1</v>
      </c>
      <c r="D46" s="5">
        <v>58</v>
      </c>
      <c r="E46" s="5">
        <v>9.9999999999999995E-8</v>
      </c>
      <c r="F46" s="5">
        <v>58000000000</v>
      </c>
      <c r="G46" s="5">
        <v>10.76343</v>
      </c>
      <c r="H46" s="4">
        <v>50500000000</v>
      </c>
    </row>
    <row r="47" spans="1:13" x14ac:dyDescent="0.2">
      <c r="A47" s="4" t="s">
        <v>16</v>
      </c>
      <c r="B47" s="4" t="s">
        <v>9</v>
      </c>
      <c r="C47" s="5">
        <v>2</v>
      </c>
      <c r="D47" s="5">
        <v>49</v>
      </c>
      <c r="E47" s="5">
        <v>9.9999999999999995E-8</v>
      </c>
      <c r="F47" s="5">
        <v>49000000000</v>
      </c>
      <c r="G47" s="5">
        <v>10.690200000000001</v>
      </c>
      <c r="H47" s="4">
        <v>50500000000</v>
      </c>
    </row>
    <row r="48" spans="1:13" x14ac:dyDescent="0.2">
      <c r="A48" s="4" t="s">
        <v>16</v>
      </c>
      <c r="B48" s="4" t="s">
        <v>10</v>
      </c>
      <c r="C48">
        <v>1</v>
      </c>
      <c r="D48">
        <v>93</v>
      </c>
      <c r="E48">
        <v>0.1</v>
      </c>
      <c r="F48">
        <f>(D48)/((E48)*(0.01))</f>
        <v>93000</v>
      </c>
      <c r="G48">
        <f t="shared" ref="G48:G49" si="4">LOG(F48)</f>
        <v>4.9684829485539348</v>
      </c>
      <c r="H48" s="4">
        <v>50500000000</v>
      </c>
    </row>
    <row r="49" spans="1:13" x14ac:dyDescent="0.2">
      <c r="A49" s="4" t="s">
        <v>16</v>
      </c>
      <c r="B49" s="4" t="s">
        <v>10</v>
      </c>
      <c r="C49">
        <v>2</v>
      </c>
      <c r="D49">
        <v>121</v>
      </c>
      <c r="E49">
        <v>0.1</v>
      </c>
      <c r="F49">
        <f t="shared" ref="F49" si="5">(D49)/((E49)*(0.01))</f>
        <v>121000</v>
      </c>
      <c r="G49">
        <f t="shared" si="4"/>
        <v>5.0827853703164498</v>
      </c>
      <c r="H49" s="4">
        <v>50500000000</v>
      </c>
      <c r="I49" s="1"/>
      <c r="J49" s="1"/>
      <c r="K49" s="1"/>
      <c r="L49" s="1"/>
      <c r="M49" s="1"/>
    </row>
    <row r="50" spans="1:13" x14ac:dyDescent="0.2">
      <c r="A50" s="4" t="s">
        <v>16</v>
      </c>
      <c r="B50" s="4" t="s">
        <v>11</v>
      </c>
      <c r="C50" s="5">
        <v>1</v>
      </c>
      <c r="D50" s="5">
        <v>122</v>
      </c>
      <c r="E50" s="5">
        <v>1E-3</v>
      </c>
      <c r="F50" s="5">
        <v>12200000</v>
      </c>
      <c r="G50" s="5">
        <v>7.08636</v>
      </c>
      <c r="H50" s="4">
        <v>50500000000</v>
      </c>
    </row>
    <row r="51" spans="1:13" x14ac:dyDescent="0.2">
      <c r="A51" s="4" t="s">
        <v>16</v>
      </c>
      <c r="B51" s="4" t="s">
        <v>11</v>
      </c>
      <c r="C51" s="5">
        <v>2</v>
      </c>
      <c r="D51" s="5">
        <v>104</v>
      </c>
      <c r="E51" s="5">
        <v>1E-3</v>
      </c>
      <c r="F51" s="5">
        <v>10400000</v>
      </c>
      <c r="G51" s="5">
        <v>7.0170329999999996</v>
      </c>
      <c r="H51" s="4">
        <v>50500000000</v>
      </c>
    </row>
    <row r="53" spans="1:13" ht="14" customHeight="1" x14ac:dyDescent="0.2"/>
    <row r="62" spans="1:13" x14ac:dyDescent="0.2">
      <c r="A62" s="1"/>
    </row>
    <row r="64" spans="1:13" x14ac:dyDescent="0.2">
      <c r="A64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1"/>
    </row>
    <row r="70" spans="1:13" x14ac:dyDescent="0.2">
      <c r="A70" s="1"/>
    </row>
    <row r="72" spans="1:13" x14ac:dyDescent="0.2">
      <c r="A72" s="1"/>
    </row>
    <row r="75" spans="1:1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">
      <c r="A76" s="1"/>
    </row>
    <row r="78" spans="1:13" x14ac:dyDescent="0.2">
      <c r="A78" s="1"/>
    </row>
    <row r="80" spans="1:13" x14ac:dyDescent="0.2">
      <c r="A80" s="1"/>
    </row>
    <row r="83" spans="1:1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1"/>
    </row>
    <row r="86" spans="1:13" x14ac:dyDescent="0.2">
      <c r="A86" s="1"/>
    </row>
    <row r="88" spans="1:13" x14ac:dyDescent="0.2">
      <c r="A88" s="1"/>
    </row>
    <row r="90" spans="1:13" x14ac:dyDescent="0.2">
      <c r="A90" s="1"/>
    </row>
    <row r="92" spans="1:13" x14ac:dyDescent="0.2">
      <c r="A92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1"/>
    </row>
    <row r="98" spans="1:1" x14ac:dyDescent="0.2">
      <c r="A98" s="1"/>
    </row>
    <row r="100" spans="1:1" x14ac:dyDescent="0.2">
      <c r="A100" s="1"/>
    </row>
    <row r="102" spans="1:1" x14ac:dyDescent="0.2">
      <c r="A102" s="1"/>
    </row>
    <row r="104" spans="1:1" x14ac:dyDescent="0.2">
      <c r="A104" s="1"/>
    </row>
    <row r="106" spans="1:1" x14ac:dyDescent="0.2">
      <c r="A106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schmidt-dannert</dc:creator>
  <cp:lastModifiedBy>Naia Novy</cp:lastModifiedBy>
  <dcterms:created xsi:type="dcterms:W3CDTF">2024-02-29T14:49:21Z</dcterms:created>
  <dcterms:modified xsi:type="dcterms:W3CDTF">2026-03-09T20:35:35Z</dcterms:modified>
</cp:coreProperties>
</file>